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899rpe\Desktop\"/>
    </mc:Choice>
  </mc:AlternateContent>
  <xr:revisionPtr revIDLastSave="0" documentId="8_{9AC0C313-24B7-47D1-945C-7B076065E640}" xr6:coauthVersionLast="47" xr6:coauthVersionMax="47" xr10:uidLastSave="{00000000-0000-0000-0000-000000000000}"/>
  <bookViews>
    <workbookView xWindow="345" yWindow="1680" windowWidth="24915" windowHeight="7500" xr2:uid="{0884EEE3-E74A-4900-9387-7AADE17C033A}"/>
  </bookViews>
  <sheets>
    <sheet name="seguimiento KP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<sst xmlns="http://schemas.openxmlformats.org/spreadsheetml/2006/main" count="57" uniqueCount="57">
  <si>
    <t>INDICADOR</t>
  </si>
  <si>
    <t>DEFINICIÓN</t>
  </si>
  <si>
    <t>META</t>
  </si>
  <si>
    <t>DESARROLLO DEL INDICADOR</t>
  </si>
  <si>
    <t>INDICADORES
 GENERALES</t>
  </si>
  <si>
    <t>RESULTADO
(IMPACTO)</t>
  </si>
  <si>
    <t>1. 
Tasa de incorporaciones de jóvenes</t>
  </si>
  <si>
    <t>Nº de nuevas incorporaciones al sector agrario por año.</t>
  </si>
  <si>
    <t>125 jóvenes/año
Próximos 10 años 1.250 incorporaciones</t>
  </si>
  <si>
    <r>
      <t xml:space="preserve">desglosar por sexo
- GAZTENEK (1ª y 2ª Comisión)
- Baserritarra Mixtos Profesionales (DFG)
</t>
    </r>
    <r>
      <rPr>
        <sz val="11"/>
        <color rgb="FFFF0000"/>
        <rFont val="Aptos Narrow"/>
        <family val="2"/>
        <scheme val="minor"/>
      </rPr>
      <t>Analizar cómo valorar los &gt; 40 años</t>
    </r>
    <r>
      <rPr>
        <sz val="11"/>
        <color theme="1"/>
        <rFont val="Aptos Narrow"/>
        <family val="2"/>
        <scheme val="minor"/>
      </rPr>
      <t>. Podría ser a través de las personas beneficiarias de la ayuda de incentivación.</t>
    </r>
  </si>
  <si>
    <t>48 personas jóvenes incorporadas (10 mujeres y 38 hombres):
Álava: 17 incorporaciones (1 mujer y 16 hombres).
Bizkaia: 7 incorporaciones (2 mujeres y 5 hombres).
Gipuzkoa: 24 incorporaciones (7 mujeres y 17 hombres).</t>
  </si>
  <si>
    <t>2. 
Porcentaje de explotaciones con relevo generacional</t>
  </si>
  <si>
    <t>Proporción de explotaciones agraraias en Euskadi que han incorporado jóvenes respecto al total de explotaciones que requieren relevo generacional</t>
  </si>
  <si>
    <t>≥ 85%</t>
  </si>
  <si>
    <t>El dato de explotaciones que requieren relevo lo tenemos en la página 15 de la Estrategia y son 1.482 explotaciones (Atender a las 764 explotaciones sin relevo)
El dato de incorporación de jóvenes lo obtenemos en el anterior indicador</t>
  </si>
  <si>
    <t>3. 
Edad media de los titulares de explotaciones</t>
  </si>
  <si>
    <t>Reducción progresiva de la edad media de los titulares agrarios en Euskadi</t>
  </si>
  <si>
    <t>Disminución respecto al dato de referencia</t>
  </si>
  <si>
    <r>
      <t xml:space="preserve">En la página 13 de la Estrategia: 58,4 años para el total de explotaciones y  54,0 años atendiendo a la explotaciones profesionales
</t>
    </r>
    <r>
      <rPr>
        <sz val="11"/>
        <color rgb="FFFF0000"/>
        <rFont val="Aptos Narrow"/>
        <family val="2"/>
        <scheme val="minor"/>
      </rPr>
      <t>(¿Podría obtenerse datos de la Encuesta de Estructuras?). El dato definitivo será el Censo Agrario (2030).</t>
    </r>
  </si>
  <si>
    <t>* El censo agrario se actualizará en 2030. La encuesta de estructura se basa en una muestra que, entre otras varibles, tiene en cuenta la edad para la muestra</t>
  </si>
  <si>
    <t>4. 
Superficie Agraria Util (SAU) gestionada por jóvenes</t>
  </si>
  <si>
    <t>Incremento de hectáreas gestionadas por nuevos titulares</t>
  </si>
  <si>
    <t>Cremiento anual</t>
  </si>
  <si>
    <t>- Nº de hectáreas que gestionan nuevos titulares
- Nº total de hectáreas / Nº de jóvenes - Superficie media
- Nº total de hectáreas de jóvenes
DNI de todos los que pasan 1ª Comisión (analizar si se incorpora a una empresa con más de un socio el cálculo correspondiente)</t>
  </si>
  <si>
    <t>Superficie total: 10.173,31Ha
Superficie / Joven: 48,68Ha</t>
  </si>
  <si>
    <t>EJECUCIÓN</t>
  </si>
  <si>
    <t>5. 
Número de solicitudes aceptadas en programas de relevo generacional (GATENEK, Espacios Test Agrarios, Becas de Acercamiento, etc.)</t>
  </si>
  <si>
    <t>Número de solicitudes aceptadas en programas de relevo generacional (GATENEK, Espacios Test Agrarios, Becas de Acercamiento, etc.)</t>
  </si>
  <si>
    <t>≥ 100/año</t>
  </si>
  <si>
    <r>
      <t xml:space="preserve">- Nuevas monitorizaciones en GAZTENEK
- Estancias prácticas
- Estancias cortas
- Espacios Test Agrarios
- Baserritarra Mixto Profesional
- Servicios de sustitución
- Empresas de suministro de mano de obra
- Ayudas a la incentivación al relevo generacional
- Solicitudes de SENDOTU
</t>
    </r>
    <r>
      <rPr>
        <sz val="11"/>
        <color rgb="FFFF0000"/>
        <rFont val="Aptos Narrow"/>
        <family val="2"/>
        <scheme val="minor"/>
      </rPr>
      <t>Posibles duplicidades, analizar por DNI</t>
    </r>
  </si>
  <si>
    <t>63 erpsonas (23 mujeres y 40 hombres)
Se han tenido en cuenta las nuevas monitorizaciones en GAZTENEK, participantes en las Estacias prácticas y beneficiarios del programa BMP de la DFG.</t>
  </si>
  <si>
    <t>6. 
Tasa de éxito en la consolidación de nuevas explotaciones</t>
  </si>
  <si>
    <t>Jóvenes que permanecen en el sector tras 3-5 años</t>
  </si>
  <si>
    <t>≥ 90%</t>
  </si>
  <si>
    <r>
      <t xml:space="preserve">- Opción fácil: GAZTNEK que pasan la 1ª Comisión y ver si superan la 2ª Comisión.
- Opción más fiable: Tras la 2ª Comisión, llamada a los tres años.
</t>
    </r>
    <r>
      <rPr>
        <sz val="11"/>
        <color rgb="FFFF0000"/>
        <rFont val="Aptos Narrow"/>
        <family val="2"/>
        <scheme val="minor"/>
      </rPr>
      <t xml:space="preserve">Mixtos profesionales?? Tienen que permanecer 6 años desde que obtienen la ayuda.
Ayuda a la incentivación del relevo generacional: compromiso de continuidad
Espacios Test Agrarios: Analizar si cuando salen siguen el circuito de asesoramiento??
Analizar para atrás </t>
    </r>
    <r>
      <rPr>
        <b/>
        <sz val="11"/>
        <color rgb="FFFF0000"/>
        <rFont val="Aptos Narrow"/>
        <family val="2"/>
        <scheme val="minor"/>
      </rPr>
      <t>5</t>
    </r>
    <r>
      <rPr>
        <sz val="11"/>
        <color rgb="FFFF0000"/>
        <rFont val="Aptos Narrow"/>
        <family val="2"/>
        <scheme val="minor"/>
      </rPr>
      <t xml:space="preserve"> años.</t>
    </r>
  </si>
  <si>
    <t>7. 
Acceso a financiación y ayudas</t>
  </si>
  <si>
    <t>Número de jóvenes que reciben apoyo financiero para la instalación</t>
  </si>
  <si>
    <t>≥ 90% de los incorporados</t>
  </si>
  <si>
    <r>
      <t>- Sendotu
- GAZTENEK
- Baserritarras Mixtos Profesionales (</t>
    </r>
    <r>
      <rPr>
        <sz val="11"/>
        <color rgb="FFFF0000"/>
        <rFont val="Aptos Narrow"/>
        <family val="2"/>
        <scheme val="minor"/>
      </rPr>
      <t>No hay dato para saber si se trata de un relevo…??</t>
    </r>
    <r>
      <rPr>
        <sz val="11"/>
        <color theme="1"/>
        <rFont val="Aptos Narrow"/>
        <family val="2"/>
        <scheme val="minor"/>
      </rPr>
      <t xml:space="preserve">)
- Espacios Test Agrarios
- </t>
    </r>
    <r>
      <rPr>
        <sz val="11"/>
        <color rgb="FFFF0000"/>
        <rFont val="Aptos Narrow"/>
        <family val="2"/>
        <scheme val="minor"/>
      </rPr>
      <t>Ayudas a las inversiones??</t>
    </r>
    <r>
      <rPr>
        <sz val="11"/>
        <color theme="1"/>
        <rFont val="Aptos Narrow"/>
        <family val="2"/>
        <scheme val="minor"/>
      </rPr>
      <t xml:space="preserve">
- Nº de jóvenes que acceden a la incentivación de relevo
</t>
    </r>
    <r>
      <rPr>
        <sz val="11"/>
        <color rgb="FFFF0000"/>
        <rFont val="Aptos Narrow"/>
        <family val="2"/>
        <scheme val="minor"/>
      </rPr>
      <t>Posibles duplicidades, analizar por DNI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Posible contraste con las altas en REA??</t>
    </r>
  </si>
  <si>
    <t>8. 
Número de cedentes beneficiarios de la ayuda a la incentivación del relevo</t>
  </si>
  <si>
    <t>Ver la actuación 5.5.3.</t>
  </si>
  <si>
    <t>90 cedentes/año</t>
  </si>
  <si>
    <t>Dato a obtener de la resolución de las convocatorias (GOVA) inicio 2026</t>
  </si>
  <si>
    <t>Sin convocatoria en 2025</t>
  </si>
  <si>
    <t>APOYO
Y
SEGUIMIENTO</t>
  </si>
  <si>
    <t>9. 
Participación en formación y asesoramiento</t>
  </si>
  <si>
    <t>Número de jóvenes que reciben formación específica antes de la incorporación</t>
  </si>
  <si>
    <t>100% de los incorporados</t>
  </si>
  <si>
    <r>
      <rPr>
        <sz val="11"/>
        <color rgb="FFFF0000"/>
        <rFont val="Aptos Narrow"/>
        <family val="2"/>
        <scheme val="minor"/>
      </rPr>
      <t>Todos tienen que cumpler. Hay que adaptar este indicador
Diferenciar aquellas personas que tienen formación regalda  (grado de formación: FP, media, universitaria) de la no reglada.</t>
    </r>
    <r>
      <rPr>
        <sz val="11"/>
        <color theme="1"/>
        <rFont val="Aptos Narrow"/>
        <family val="2"/>
        <scheme val="minor"/>
      </rPr>
      <t xml:space="preserve">
Número medio de horas recibidas? Podría analizarse aquellos casos que se quedan fuera por no tener formación.</t>
    </r>
  </si>
  <si>
    <t>10.
Diversificación de género</t>
  </si>
  <si>
    <t>Porcentaje de mujeres incorporadas al sector agrario</t>
  </si>
  <si>
    <t>≥ 30%</t>
  </si>
  <si>
    <t>Obtener el dato del indicador 1. (desagregación del dato por sexo)</t>
  </si>
  <si>
    <t>11. 
Número de explotaciones que participan en programas de mentoría o acompañamiento</t>
  </si>
  <si>
    <t>Número de explotaciones que participan en programas de mentoría o acompañamiento</t>
  </si>
  <si>
    <t>≥ 75% de los incorporados</t>
  </si>
  <si>
    <t>Analizar:
- Si 2 jóvenes o más se incorporan a una explotación a través de GAZTENEK
- Mayores de 40 años que también reciben asesoramiento GAZTENEK
- Espacios Test Agrarios
- Etorkizuna Bermatuz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</si>
</sst>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quotePrefix="1" applyFill="1" applyBorder="1" applyAlignment="1">
      <alignment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quotePrefix="1" applyFill="1" applyBorder="1" applyAlignment="1">
      <alignment vertical="center" wrapText="1"/>
    </xf>
    <xf numFmtId="0" fontId="0" fillId="8" borderId="1" xfId="0" quotePrefix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9" fontId="0" fillId="11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877C-EBC8-4729-9AE1-940C3C65954B}">
  <dimension ref="A1:K12"/>
  <sheetViews>
    <sheetView tabSelected="1" workbookViewId="0">
      <selection activeCell="J2" sqref="J2"/>
    </sheetView>
  </sheetViews>
  <sheetFormatPr baseColWidth="10" defaultRowHeight="15" x14ac:dyDescent="0.25"/>
  <cols>
    <col min="6" max="6" width="31.42578125" customWidth="1"/>
    <col min="7" max="11" width="26.5703125" customWidth="1"/>
  </cols>
  <sheetData>
    <row r="1" spans="1:11" ht="30" x14ac:dyDescent="0.25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>
        <v>2025</v>
      </c>
      <c r="H1" s="3">
        <v>2026</v>
      </c>
      <c r="I1" s="3">
        <v>2027</v>
      </c>
      <c r="J1" s="3">
        <v>2028</v>
      </c>
      <c r="K1" s="3"/>
    </row>
    <row r="2" spans="1:11" ht="150" x14ac:dyDescent="0.25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7" t="s">
        <v>10</v>
      </c>
    </row>
    <row r="3" spans="1:11" ht="255" x14ac:dyDescent="0.25">
      <c r="A3" s="4"/>
      <c r="B3" s="5"/>
      <c r="C3" s="6" t="s">
        <v>11</v>
      </c>
      <c r="D3" s="7" t="s">
        <v>12</v>
      </c>
      <c r="E3" s="7" t="s">
        <v>13</v>
      </c>
      <c r="F3" s="8" t="s">
        <v>14</v>
      </c>
      <c r="G3" s="8"/>
    </row>
    <row r="4" spans="1:11" ht="135" x14ac:dyDescent="0.25">
      <c r="A4" s="4"/>
      <c r="B4" s="5"/>
      <c r="C4" s="6" t="s">
        <v>15</v>
      </c>
      <c r="D4" s="7" t="s">
        <v>16</v>
      </c>
      <c r="E4" s="7" t="s">
        <v>17</v>
      </c>
      <c r="F4" s="8" t="s">
        <v>18</v>
      </c>
      <c r="G4" s="8" t="s">
        <v>19</v>
      </c>
    </row>
    <row r="5" spans="1:11" ht="150" x14ac:dyDescent="0.25">
      <c r="A5" s="4"/>
      <c r="B5" s="5"/>
      <c r="C5" s="6" t="s">
        <v>20</v>
      </c>
      <c r="D5" s="7" t="s">
        <v>21</v>
      </c>
      <c r="E5" s="7" t="s">
        <v>22</v>
      </c>
      <c r="F5" s="9" t="s">
        <v>23</v>
      </c>
      <c r="G5" s="10" t="s">
        <v>24</v>
      </c>
    </row>
    <row r="6" spans="1:11" ht="240" x14ac:dyDescent="0.25">
      <c r="A6" s="4"/>
      <c r="B6" s="11" t="s">
        <v>25</v>
      </c>
      <c r="C6" s="12" t="s">
        <v>26</v>
      </c>
      <c r="D6" s="13" t="s">
        <v>27</v>
      </c>
      <c r="E6" s="13" t="s">
        <v>28</v>
      </c>
      <c r="F6" s="14" t="s">
        <v>29</v>
      </c>
      <c r="G6" s="15" t="s">
        <v>30</v>
      </c>
    </row>
    <row r="7" spans="1:11" ht="240" x14ac:dyDescent="0.25">
      <c r="A7" s="4"/>
      <c r="B7" s="11"/>
      <c r="C7" s="12" t="s">
        <v>31</v>
      </c>
      <c r="D7" s="13" t="s">
        <v>32</v>
      </c>
      <c r="E7" s="13" t="s">
        <v>33</v>
      </c>
      <c r="F7" s="14" t="s">
        <v>34</v>
      </c>
      <c r="G7" s="14"/>
    </row>
    <row r="8" spans="1:11" ht="195" x14ac:dyDescent="0.25">
      <c r="A8" s="4"/>
      <c r="B8" s="11"/>
      <c r="C8" s="12" t="s">
        <v>35</v>
      </c>
      <c r="D8" s="13" t="s">
        <v>36</v>
      </c>
      <c r="E8" s="13" t="s">
        <v>37</v>
      </c>
      <c r="F8" s="14" t="s">
        <v>38</v>
      </c>
      <c r="G8" s="14"/>
    </row>
    <row r="9" spans="1:11" ht="135" x14ac:dyDescent="0.25">
      <c r="A9" s="4"/>
      <c r="B9" s="11"/>
      <c r="C9" s="12" t="s">
        <v>39</v>
      </c>
      <c r="D9" s="13" t="s">
        <v>40</v>
      </c>
      <c r="E9" s="13" t="s">
        <v>41</v>
      </c>
      <c r="F9" s="16" t="s">
        <v>42</v>
      </c>
      <c r="G9" s="13" t="s">
        <v>43</v>
      </c>
    </row>
    <row r="10" spans="1:11" ht="150" x14ac:dyDescent="0.25">
      <c r="A10" s="4"/>
      <c r="B10" s="17" t="s">
        <v>44</v>
      </c>
      <c r="C10" s="18" t="s">
        <v>45</v>
      </c>
      <c r="D10" s="19" t="s">
        <v>46</v>
      </c>
      <c r="E10" s="19" t="s">
        <v>47</v>
      </c>
      <c r="F10" s="20" t="s">
        <v>48</v>
      </c>
      <c r="G10" s="20"/>
    </row>
    <row r="11" spans="1:11" ht="75" x14ac:dyDescent="0.25">
      <c r="A11" s="4"/>
      <c r="B11" s="17"/>
      <c r="C11" s="18" t="s">
        <v>49</v>
      </c>
      <c r="D11" s="19" t="s">
        <v>50</v>
      </c>
      <c r="E11" s="19" t="s">
        <v>51</v>
      </c>
      <c r="F11" s="20" t="s">
        <v>52</v>
      </c>
      <c r="G11" s="21">
        <f>10/48</f>
        <v>0.20833333333333334</v>
      </c>
    </row>
    <row r="12" spans="1:11" ht="165" x14ac:dyDescent="0.25">
      <c r="A12" s="4"/>
      <c r="B12" s="17"/>
      <c r="C12" s="18" t="s">
        <v>53</v>
      </c>
      <c r="D12" s="19" t="s">
        <v>54</v>
      </c>
      <c r="E12" s="19" t="s">
        <v>55</v>
      </c>
      <c r="F12" s="20" t="s">
        <v>56</v>
      </c>
      <c r="G12" s="20"/>
    </row>
  </sheetData>
  <mergeCells count="4">
    <mergeCell ref="A2:A12"/>
    <mergeCell ref="B2:B5"/>
    <mergeCell ref="B6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Pérez de San Román</dc:creator>
  <cp:lastModifiedBy>Roberto Pérez de San Román</cp:lastModifiedBy>
  <dcterms:created xsi:type="dcterms:W3CDTF">2026-05-28T07:57:01Z</dcterms:created>
  <dcterms:modified xsi:type="dcterms:W3CDTF">2026-05-28T07:57:22Z</dcterms:modified>
</cp:coreProperties>
</file>